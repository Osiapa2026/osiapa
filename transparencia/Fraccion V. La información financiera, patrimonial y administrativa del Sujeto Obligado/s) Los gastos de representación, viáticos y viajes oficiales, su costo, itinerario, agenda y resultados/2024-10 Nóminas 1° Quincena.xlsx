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wnloads\"/>
    </mc:Choice>
  </mc:AlternateContent>
  <xr:revisionPtr revIDLastSave="0" documentId="8_{52356852-C21E-4A7C-A796-1571E68891DF}" xr6:coauthVersionLast="47" xr6:coauthVersionMax="47" xr10:uidLastSave="{00000000-0000-0000-0000-000000000000}"/>
  <bookViews>
    <workbookView xWindow="-120" yWindow="-120" windowWidth="29040" windowHeight="15720" xr2:uid="{1EEA97BB-FAE5-4A6B-AB0B-5901234AB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13" i="1"/>
</calcChain>
</file>

<file path=xl/sharedStrings.xml><?xml version="1.0" encoding="utf-8"?>
<sst xmlns="http://schemas.openxmlformats.org/spreadsheetml/2006/main" count="67" uniqueCount="57">
  <si>
    <t>CONTPAQ i</t>
  </si>
  <si>
    <t xml:space="preserve">      NÓMINAS</t>
  </si>
  <si>
    <t>OSIAPA</t>
  </si>
  <si>
    <t>Lista de Raya (forma tabular)</t>
  </si>
  <si>
    <t>Periodo 19 al 19 Quincenal del 01/10/2024 al 15/10/2024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</si>
  <si>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</si>
  <si>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</si>
  <si>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</si>
  <si>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</si>
  <si>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</si>
  <si>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</si>
  <si>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I.S.R. (mes)</t>
  </si>
  <si>
    <t>*NETO*</t>
  </si>
  <si>
    <t xml:space="preserve">    Reg. Pat. IMSS:  NA</t>
  </si>
  <si>
    <t>004</t>
  </si>
  <si>
    <t>VILLASEÑOR RETANO JOANA JANETH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</si>
  <si>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</si>
  <si>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</si>
  <si>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</si>
  <si>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</si>
  <si>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</si>
  <si>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</si>
  <si>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</si>
  <si>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</si>
  <si>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</si>
  <si>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</si>
  <si>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</si>
  <si>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</si>
  <si>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</si>
  <si>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</si>
  <si>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020</t>
  </si>
  <si>
    <t>RODRIGUEZ VELAZQUEZ FERNANDO</t>
  </si>
  <si>
    <t>021</t>
  </si>
  <si>
    <t>CANAL DIAZ RUBEN CARLOS</t>
  </si>
  <si>
    <t>022</t>
  </si>
  <si>
    <t>MORAN RAMIREZ JOSE ALFREDO</t>
  </si>
  <si>
    <t>023</t>
  </si>
  <si>
    <t>PEREZ RUIZ LUIS MARTIN</t>
  </si>
  <si>
    <t>033</t>
  </si>
  <si>
    <t>RODRIGUEZ SANCHEZ MARIA LUISA</t>
  </si>
  <si>
    <t>038</t>
  </si>
  <si>
    <t>HERNANDEZ MORAN ALEJANDRA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</si>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</sst>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164" fontId="8" fillId="0" borderId="0" xfId="0" applyNumberFormat="1" applyFont="1"/>
    <xf numFmtId="49" fontId="8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3E4A-8619-4A31-81D7-DE2EEA70CCA6}">
  <dimension ref="A1:F39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4" sqref="J14"/>
    </sheetView>
  </sheetViews>
  <sheetFormatPr baseColWidth="10" defaultRowHeight="11.25" x14ac:dyDescent="0.2"/>
  <cols>
    <col min="1" max="1" width="12.28515625" style="2" customWidth="1"/>
    <col min="2" max="2" width="28.42578125" style="1" customWidth="1"/>
    <col min="3" max="3" width="10.85546875" style="1" customWidth="1"/>
    <col min="4" max="4" width="13" style="1" bestFit="1" customWidth="1"/>
    <col min="5" max="5" width="12.28515625" style="1" customWidth="1"/>
    <col min="6" max="6" width="11.28515625" style="1" customWidth="1"/>
    <col min="7" max="16384" width="11.42578125" style="1"/>
  </cols>
  <sheetData>
    <row r="1" spans="1:6" ht="18" customHeight="1" x14ac:dyDescent="0.25">
      <c r="A1" s="7" t="s">
        <v>0</v>
      </c>
      <c r="B1" s="9" t="s">
        <v>56</v>
      </c>
      <c r="C1" s="4"/>
      <c r="D1" s="4"/>
    </row>
    <row r="2" spans="1:6" ht="24.95" customHeight="1" x14ac:dyDescent="0.2">
      <c r="A2" s="8" t="s">
        <v>1</v>
      </c>
      <c r="B2" s="10" t="s">
        <v>2</v>
      </c>
      <c r="C2" s="10"/>
      <c r="D2" s="10"/>
      <c r="E2" s="10"/>
      <c r="F2" s="10"/>
    </row>
    <row r="3" spans="1:6" ht="15.75" customHeight="1" x14ac:dyDescent="0.2">
      <c r="B3" s="11" t="s">
        <v>3</v>
      </c>
      <c r="C3" s="11"/>
      <c r="D3" s="11"/>
      <c r="E3" s="11"/>
      <c r="F3" s="11"/>
    </row>
    <row r="4" spans="1:6" ht="15" customHeight="1" x14ac:dyDescent="0.2">
      <c r="B4" s="12" t="s">
        <v>4</v>
      </c>
      <c r="C4" s="12"/>
      <c r="D4" s="12"/>
      <c r="E4" s="12"/>
      <c r="F4" s="12"/>
    </row>
    <row r="5" spans="1:6" x14ac:dyDescent="0.2">
      <c r="B5" s="5" t="s">
        <v>5</v>
      </c>
    </row>
    <row r="6" spans="1:6" x14ac:dyDescent="0.2">
      <c r="B6" s="5" t="s">
        <v>6</v>
      </c>
    </row>
    <row r="8" spans="1:6" s="3" customFormat="1" ht="12" thickBot="1" x14ac:dyDescent="0.25">
      <c r="A8" s="13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5" t="s">
        <v>12</v>
      </c>
    </row>
    <row r="9" spans="1:6" ht="12" thickTop="1" x14ac:dyDescent="0.2"/>
    <row r="11" spans="1:6" x14ac:dyDescent="0.2">
      <c r="A11" s="16" t="s">
        <v>13</v>
      </c>
    </row>
    <row r="13" spans="1:6" x14ac:dyDescent="0.2">
      <c r="A13" s="2" t="s">
        <v>14</v>
      </c>
      <c r="B13" s="1" t="s">
        <v>15</v>
      </c>
      <c r="C13" s="1">
        <f>F13+E13</f>
        <v>6383.84</v>
      </c>
      <c r="D13" s="1">
        <v>985.2</v>
      </c>
      <c r="E13" s="1">
        <v>583.84</v>
      </c>
      <c r="F13" s="1">
        <v>5800</v>
      </c>
    </row>
    <row r="14" spans="1:6" x14ac:dyDescent="0.2">
      <c r="A14" s="2" t="s">
        <v>16</v>
      </c>
      <c r="B14" s="1" t="s">
        <v>17</v>
      </c>
      <c r="C14" s="1">
        <f t="shared" ref="C14:C32" si="0">F14+E14</f>
        <v>5238.4799999999996</v>
      </c>
      <c r="D14" s="1">
        <v>500.2</v>
      </c>
      <c r="E14" s="1">
        <v>413.48</v>
      </c>
      <c r="F14" s="1">
        <v>4825</v>
      </c>
    </row>
    <row r="15" spans="1:6" x14ac:dyDescent="0.2">
      <c r="A15" s="2" t="s">
        <v>18</v>
      </c>
      <c r="B15" s="1" t="s">
        <v>19</v>
      </c>
      <c r="C15" s="1">
        <f t="shared" si="0"/>
        <v>4610.12</v>
      </c>
      <c r="D15" s="1">
        <v>499.8</v>
      </c>
      <c r="E15" s="1">
        <v>345.12</v>
      </c>
      <c r="F15" s="1">
        <v>4265</v>
      </c>
    </row>
    <row r="16" spans="1:6" x14ac:dyDescent="0.2">
      <c r="A16" s="2" t="s">
        <v>20</v>
      </c>
      <c r="B16" s="1" t="s">
        <v>21</v>
      </c>
      <c r="C16" s="1">
        <f t="shared" si="0"/>
        <v>4610.12</v>
      </c>
      <c r="D16" s="1">
        <v>499.8</v>
      </c>
      <c r="E16" s="1">
        <v>345.12</v>
      </c>
      <c r="F16" s="1">
        <v>4265</v>
      </c>
    </row>
    <row r="17" spans="1:6" x14ac:dyDescent="0.2">
      <c r="A17" s="2" t="s">
        <v>22</v>
      </c>
      <c r="B17" s="1" t="s">
        <v>23</v>
      </c>
      <c r="C17" s="1">
        <f t="shared" si="0"/>
        <v>4610.12</v>
      </c>
      <c r="D17" s="1">
        <v>499.8</v>
      </c>
      <c r="E17" s="1">
        <v>345.12</v>
      </c>
      <c r="F17" s="1">
        <v>4265</v>
      </c>
    </row>
    <row r="18" spans="1:6" x14ac:dyDescent="0.2">
      <c r="A18" s="2" t="s">
        <v>24</v>
      </c>
      <c r="B18" s="1" t="s">
        <v>25</v>
      </c>
      <c r="C18" s="1">
        <f t="shared" si="0"/>
        <v>1499.6</v>
      </c>
      <c r="D18" s="1">
        <v>0</v>
      </c>
      <c r="E18" s="1">
        <v>0</v>
      </c>
      <c r="F18" s="1">
        <v>1499.6</v>
      </c>
    </row>
    <row r="19" spans="1:6" x14ac:dyDescent="0.2">
      <c r="A19" s="2" t="s">
        <v>26</v>
      </c>
      <c r="B19" s="1" t="s">
        <v>27</v>
      </c>
      <c r="C19" s="1">
        <f t="shared" si="0"/>
        <v>2433.4</v>
      </c>
      <c r="D19" s="1">
        <v>0</v>
      </c>
      <c r="E19" s="1">
        <v>0</v>
      </c>
      <c r="F19" s="1">
        <v>2433.4</v>
      </c>
    </row>
    <row r="20" spans="1:6" x14ac:dyDescent="0.2">
      <c r="A20" s="2" t="s">
        <v>28</v>
      </c>
      <c r="B20" s="1" t="s">
        <v>29</v>
      </c>
      <c r="C20" s="1">
        <f t="shared" si="0"/>
        <v>2433.4</v>
      </c>
      <c r="D20" s="1">
        <v>0</v>
      </c>
      <c r="E20" s="1">
        <v>0</v>
      </c>
      <c r="F20" s="1">
        <v>2433.4</v>
      </c>
    </row>
    <row r="21" spans="1:6" x14ac:dyDescent="0.2">
      <c r="A21" s="2" t="s">
        <v>30</v>
      </c>
      <c r="B21" s="1" t="s">
        <v>31</v>
      </c>
      <c r="C21" s="1">
        <f t="shared" si="0"/>
        <v>5550.49</v>
      </c>
      <c r="D21" s="1">
        <v>503</v>
      </c>
      <c r="E21" s="1">
        <v>450.49</v>
      </c>
      <c r="F21" s="1">
        <v>5100</v>
      </c>
    </row>
    <row r="22" spans="1:6" x14ac:dyDescent="0.2">
      <c r="A22" s="2" t="s">
        <v>32</v>
      </c>
      <c r="B22" s="1" t="s">
        <v>33</v>
      </c>
      <c r="C22" s="1">
        <f t="shared" si="0"/>
        <v>2348.4</v>
      </c>
      <c r="D22" s="1">
        <v>0</v>
      </c>
      <c r="E22" s="1">
        <v>0</v>
      </c>
      <c r="F22" s="1">
        <v>2348.4</v>
      </c>
    </row>
    <row r="23" spans="1:6" x14ac:dyDescent="0.2">
      <c r="A23" s="2" t="s">
        <v>34</v>
      </c>
      <c r="B23" s="1" t="s">
        <v>35</v>
      </c>
      <c r="C23" s="1">
        <f t="shared" si="0"/>
        <v>2348.4</v>
      </c>
      <c r="D23" s="1">
        <v>0</v>
      </c>
      <c r="E23" s="1">
        <v>0</v>
      </c>
      <c r="F23" s="1">
        <v>2348.4</v>
      </c>
    </row>
    <row r="24" spans="1:6" x14ac:dyDescent="0.2">
      <c r="A24" s="2" t="s">
        <v>36</v>
      </c>
      <c r="B24" s="1" t="s">
        <v>37</v>
      </c>
      <c r="C24" s="1">
        <f t="shared" si="0"/>
        <v>1758.2</v>
      </c>
      <c r="D24" s="1">
        <v>0</v>
      </c>
      <c r="E24" s="1">
        <v>0</v>
      </c>
      <c r="F24" s="1">
        <v>1758.2</v>
      </c>
    </row>
    <row r="25" spans="1:6" x14ac:dyDescent="0.2">
      <c r="A25" s="2" t="s">
        <v>38</v>
      </c>
      <c r="B25" s="1" t="s">
        <v>39</v>
      </c>
      <c r="C25" s="1">
        <f t="shared" si="0"/>
        <v>3200</v>
      </c>
      <c r="D25" s="1">
        <v>320.39999999999998</v>
      </c>
      <c r="E25" s="1">
        <v>0</v>
      </c>
      <c r="F25" s="1">
        <v>3200</v>
      </c>
    </row>
    <row r="26" spans="1:6" x14ac:dyDescent="0.2">
      <c r="A26" s="2" t="s">
        <v>40</v>
      </c>
      <c r="B26" s="1" t="s">
        <v>41</v>
      </c>
      <c r="C26" s="1">
        <f t="shared" si="0"/>
        <v>4649.3900000000003</v>
      </c>
      <c r="D26" s="1">
        <v>505.8</v>
      </c>
      <c r="E26" s="1">
        <v>349.39</v>
      </c>
      <c r="F26" s="1">
        <v>4300</v>
      </c>
    </row>
    <row r="27" spans="1:6" x14ac:dyDescent="0.2">
      <c r="A27" s="2" t="s">
        <v>42</v>
      </c>
      <c r="B27" s="1" t="s">
        <v>43</v>
      </c>
      <c r="C27" s="1">
        <f t="shared" si="0"/>
        <v>3400</v>
      </c>
      <c r="D27" s="1">
        <v>696</v>
      </c>
      <c r="E27" s="1">
        <v>0</v>
      </c>
      <c r="F27" s="1">
        <v>3400</v>
      </c>
    </row>
    <row r="28" spans="1:6" x14ac:dyDescent="0.2">
      <c r="A28" s="2" t="s">
        <v>44</v>
      </c>
      <c r="B28" s="1" t="s">
        <v>45</v>
      </c>
      <c r="C28" s="1">
        <f t="shared" si="0"/>
        <v>9126.369999999999</v>
      </c>
      <c r="D28" s="1">
        <v>0</v>
      </c>
      <c r="E28" s="1">
        <v>1126.3699999999999</v>
      </c>
      <c r="F28" s="1">
        <v>8000</v>
      </c>
    </row>
    <row r="29" spans="1:6" x14ac:dyDescent="0.2">
      <c r="A29" s="2" t="s">
        <v>46</v>
      </c>
      <c r="B29" s="1" t="s">
        <v>47</v>
      </c>
      <c r="C29" s="1">
        <f t="shared" si="0"/>
        <v>10855.77</v>
      </c>
      <c r="D29" s="1">
        <v>0</v>
      </c>
      <c r="E29" s="1">
        <v>1495.77</v>
      </c>
      <c r="F29" s="1">
        <v>9360</v>
      </c>
    </row>
    <row r="30" spans="1:6" x14ac:dyDescent="0.2">
      <c r="A30" s="2" t="s">
        <v>48</v>
      </c>
      <c r="B30" s="1" t="s">
        <v>49</v>
      </c>
      <c r="C30" s="1">
        <f t="shared" si="0"/>
        <v>9889.34</v>
      </c>
      <c r="D30" s="1">
        <v>0</v>
      </c>
      <c r="E30" s="1">
        <v>1289.3399999999999</v>
      </c>
      <c r="F30" s="1">
        <v>8600</v>
      </c>
    </row>
    <row r="31" spans="1:6" x14ac:dyDescent="0.2">
      <c r="A31" s="2" t="s">
        <v>50</v>
      </c>
      <c r="B31" s="1" t="s">
        <v>51</v>
      </c>
      <c r="C31" s="1">
        <f t="shared" si="0"/>
        <v>3200</v>
      </c>
      <c r="D31" s="1">
        <v>320</v>
      </c>
      <c r="E31" s="1">
        <v>0</v>
      </c>
      <c r="F31" s="1">
        <v>3200</v>
      </c>
    </row>
    <row r="32" spans="1:6" x14ac:dyDescent="0.2">
      <c r="A32" s="2" t="s">
        <v>52</v>
      </c>
      <c r="B32" s="1" t="s">
        <v>53</v>
      </c>
      <c r="C32" s="1">
        <f t="shared" si="0"/>
        <v>6383.84</v>
      </c>
      <c r="D32" s="1">
        <v>0</v>
      </c>
      <c r="E32" s="1">
        <v>583.84</v>
      </c>
      <c r="F32" s="1">
        <v>5800</v>
      </c>
    </row>
    <row r="35" spans="1:6" s="6" customFormat="1" x14ac:dyDescent="0.2">
      <c r="A35" s="17"/>
      <c r="C35" s="6" t="s">
        <v>54</v>
      </c>
      <c r="D35" s="6" t="s">
        <v>54</v>
      </c>
      <c r="E35" s="6" t="s">
        <v>54</v>
      </c>
      <c r="F35" s="6" t="s">
        <v>54</v>
      </c>
    </row>
    <row r="36" spans="1:6" x14ac:dyDescent="0.2">
      <c r="A36" s="19" t="s">
        <v>55</v>
      </c>
      <c r="B36" s="1" t="s">
        <v>56</v>
      </c>
      <c r="C36" s="18">
        <f>SUM(C13:C35)</f>
        <v>94529.279999999999</v>
      </c>
      <c r="D36" s="18">
        <v>5330</v>
      </c>
      <c r="E36" s="18">
        <v>7327.88</v>
      </c>
      <c r="F36" s="18">
        <v>87201.4</v>
      </c>
    </row>
    <row r="38" spans="1:6" x14ac:dyDescent="0.2">
      <c r="C38" s="1" t="s">
        <v>56</v>
      </c>
      <c r="D38" s="1" t="s">
        <v>56</v>
      </c>
      <c r="E38" s="1" t="s">
        <v>56</v>
      </c>
      <c r="F38" s="1" t="s">
        <v>56</v>
      </c>
    </row>
    <row r="39" spans="1:6" x14ac:dyDescent="0.2">
      <c r="A39" s="2" t="s">
        <v>56</v>
      </c>
      <c r="B39" s="1" t="s">
        <v>56</v>
      </c>
      <c r="C39" s="18"/>
      <c r="D39" s="18"/>
      <c r="E39" s="18"/>
      <c r="F39" s="18"/>
    </row>
  </sheetData>
  <mergeCells count="4">
    <mergeCell ref="B1:D1"/>
    <mergeCell ref="B2:F2"/>
    <mergeCell ref="B3:F3"/>
    <mergeCell ref="B4:F4"/>
  </mergeCells>
  <conditionalFormatting sqref="A1:B4 E1:XFD1 A5:XFD1048576 G2:XFD4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2024-11-19T22:15:44Z</cp:lastPrinted>
  <dcterms:created xsi:type="dcterms:W3CDTF">2024-11-19T22:10:52Z</dcterms:created>
  <dcterms:modified xsi:type="dcterms:W3CDTF">2024-11-19T22:17:45Z</dcterms:modified>
</cp:coreProperties>
</file>